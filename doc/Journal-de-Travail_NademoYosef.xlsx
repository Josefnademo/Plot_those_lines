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wnloads\"/>
    </mc:Choice>
  </mc:AlternateContent>
  <xr:revisionPtr revIDLastSave="0" documentId="13_ncr:1_{F85B05A3-4DB5-4E2E-9052-99E4273010A9}" xr6:coauthVersionLast="47" xr6:coauthVersionMax="47" xr10:uidLastSave="{00000000-0000-0000-0000-000000000000}"/>
  <bookViews>
    <workbookView xWindow="-12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<sst xmlns="http://schemas.openxmlformats.org/spreadsheetml/2006/main" count="136" uniqueCount="85">
  <si>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</si>
  <si>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</si>
  <si>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</si>
  <si>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</si>
  <si>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</si>
  <si>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</si>
  <si>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</si>
  <si>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</si>
  <si>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</si>
  <si>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</si>
  <si>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</si>
  <si>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</si>
  <si>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</si>
  <si>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</si>
  <si>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</si>
  <si>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</si>
  <si>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</si>
  <si>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</si>
  <si>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</si>
  <si>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</si>
  <si>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</si>
  <si>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</si>
  <si>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</si>
  <si>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</si>
  <si>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</si>
  <si>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</si>
  <si>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</si>
  <si>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</si>
  <si>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</si>
  <si>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</si>
  <si>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P_FUN</t>
  </si>
  <si>
    <t>29.08.2025 au 31.1.2025</t>
  </si>
  <si>
    <t>Une analyse approfondie du cahier des charges (CDC) afin de bien comprendre les objectifs, les fonctionnalités attendues et les contraintes techniques du projet</t>
  </si>
  <si>
    <t xml:space="preserve"> Github Project https://github.com/users/Josefnademo/projects/5</t>
  </si>
  <si>
    <t>Réfléxion sur le but et moyens à l'aide desquels attenir les goals est pas seulement réel, mais qui correspond à ma manniere et la thème de Crypto monnaies, Amélioration de Readme.md, ajout des notion nésaiser(utilité de mon projet, son but, réelistion, test, tech stack); choix du thème et API</t>
  </si>
  <si>
    <t>Création de mon mon repos GitHub privé, Une structure de fichiers organisée a été mise en place afin d’assurer une bonne lisibilité et une gestion efficace du code et des    ressources(          documentation/ — pour tous les documents liés au projet
readme.md — fichier de présentation du projet-Rapport | .gitignore
Début de la planification des tâches dans le JDT</t>
  </si>
  <si>
    <t>Github repos/ Readme-Rapport / JDT / CDC / .gitignore( https://stackoverflow.com/questions/2143956/gitignore-for-visual-studio-projects-and-solutions )</t>
  </si>
  <si>
    <t>Création des user stories et Acceptance criteria</t>
  </si>
  <si>
    <t>Rapport /  Planification; Création des fichiers et organisation des dossiers pour le projet. apport : Rédaction complète du rapport du projet, incluant objectifs, domaine, analyse, réalisation, tests et conclusion. Readme
Planification : Élaboration du plan sur 8 semaines avec tâches, livrables et marges pour les imprévus.
JDT : Tenue du journal de travail pour suivre l’avancement, les difficultés rencontrées et les solutions apportées.</t>
  </si>
  <si>
    <t>Rapport.md /  Planification.md / JDT /  Readme</t>
  </si>
  <si>
    <t>https://github.com/users/Josefnademo/projects/5/views/1</t>
  </si>
  <si>
    <t>Finalisation de la planification et création des tâches sur GitHub Project.</t>
  </si>
  <si>
    <t>Collecte d’informations pour comprendre comment travailler avec ScottPlot.</t>
  </si>
  <si>
    <t>Création d’une maquette permettant de représenter clairement mon idée et de répondre aux besoins techniques du programme.</t>
  </si>
  <si>
    <t>Figma</t>
  </si>
  <si>
    <t xml:space="preserve">https://www.youtube.com/watch?v=HGF1fm1vmIk&amp;ab_channel=IndustrialITandAutomation   Tooltip: https://www.w3schools.com/css/css_tooltip.asp   windowsforms: https://stackoverflow.com/questions/29024910/how-to-design-a-custom-close-minimize-and-maximize-button-in-windows-form-appli </t>
  </si>
  <si>
    <t>Début du codage du projet : création et modélisation des Windows Forms, création des classes, et première mise en place d’une interface graphique évolutive.</t>
  </si>
  <si>
    <t>System.Text.Json / ScottPlot</t>
  </si>
  <si>
    <t>https://www.coingecko.com/en/api?</t>
  </si>
  <si>
    <t>Premier graphique; faire connaissance sur des fonctionnalités principales-nécessaires; +json extrait des cryptos monnaies</t>
  </si>
  <si>
    <t>{"error":{"status":{"timestamp":"2025-09-12T12:30:06.778+00:00","error_code":10012,"error_message":"Your request exceeds the allowed time range. Public API users are limited to querying historical data within the past 365 days. Upgrade to a paid plan to enjoy full historical data access: https://www.coingecko.com/en/api/pricing. "}}}</t>
  </si>
  <si>
    <t>Button import importation de json,  parsing json, pour créer un graphique,</t>
  </si>
  <si>
    <t>features button import</t>
  </si>
  <si>
    <t>JDT mis à jour</t>
  </si>
  <si>
    <t xml:space="preserve"> src/PTL_Crypto(PlotManager) gérer le graphique-apparence;  src/PTL_Crypto(ApiClient) reçoit des réponses(json)  par lien ,src/PTL_Crypto(Form1) Load crypto from main form using  textbox and buttons, </t>
  </si>
  <si>
    <t>ApiClient,Form1,PlotManager</t>
  </si>
  <si>
    <t>https://scottplot.net/cookbook/4.1/category/plottable-scatter-plot/</t>
  </si>
  <si>
    <t xml:space="preserve">code(FileClient class, Form1 )     -     Quand je démarre l’application, alors un graphique ScottPlot est visible. Le graphique affiche les prix du Bitcoin sur 7 jours (et autres crypto monaies) by default. </t>
  </si>
  <si>
    <t>code(PlotManager(for local and Api data))</t>
  </si>
  <si>
    <t xml:space="preserve"> correction des erreurs version 4.0 -&gt; 5.0</t>
  </si>
  <si>
    <t>representation des graphique coherent,Chore(JDT); code(PlotManager(Deleting,Restoring charts, Importing a JSON file))</t>
  </si>
  <si>
    <t>recherche des crypto avec combobox,les messages clair qui informe d'un  problème ou réussit</t>
  </si>
  <si>
    <t>src(Prototype API + combobox ), chore(JDT)</t>
  </si>
  <si>
    <t>https://scottplot.net/cookbook/5.0/Scatter/    formsPlot1.Plot.Axes.DateTimeTicksBottom();</t>
  </si>
  <si>
    <t>dans graphique les dates claires et correctes + try catch  pour éviter des erreurs leur fonctionnement d'api + Comments pour classes</t>
  </si>
  <si>
    <t>revue des commentaires de prof correction et addaptation des erreurs</t>
  </si>
  <si>
    <t>feedback</t>
  </si>
  <si>
    <t>unit test (CryptoPrice object)</t>
  </si>
  <si>
    <t>delete textbox-&gt;use combobox. NoApi -&gt;localfiles . Downloading a list of coins from CoinGecko OR Local files in case of error with API</t>
  </si>
  <si>
    <t>HashSet&lt;T&gt; is a collection of unique elements.
The main property is that each element can only exist once.
Quickly checks whether an element exists (Contains) – almost instantly, even with a large number of elements.
Perfect if you need to store which cryptocurrencies are currently visible on the chart.    https://stackoverflow.com/questions/36923025/how-to-make-a-readonlycollection-from-a-hashset-without-copying-the-elements</t>
  </si>
  <si>
    <t>Import and implementation of logic of adding, deleting and not seeing charts. 
Method for updating a graph based on visibility
- Replaced multiple redundant methods (LoadCryptoData, AddCrypto, etc.) 
  with a single universal async method LoadOrAddCrypto().
  → Handles all cases: API load, local JSON fallback, and imported files.
  → Uses one consistent flow for adding crypto data and updating the plot.
- Added automatic synchronization between loadedCryptos and CheckedListBox:
  → When new crypto is loaded, it is added to CheckedListBox (checked by default).
  → CheckedListBox now correctly controls which cryptos are visible on the chart.</t>
  </si>
  <si>
    <t>gitignore</t>
  </si>
  <si>
    <t>https://gist.github.com/takekazuomi/10955889</t>
  </si>
  <si>
    <t>schema de fonctionnement d'application</t>
  </si>
  <si>
    <t>tests a. b. c. d.</t>
  </si>
  <si>
    <t>documentation(Rapport(tests UINT, test acceptation))</t>
  </si>
  <si>
    <t>documentation(Rapport(Réalisation,Objectifs pédagogiques,Utilisation de l’IA, bilan technique, bilan personnel ,Conclusion)</t>
  </si>
  <si>
    <t>foreach-&gt; linq foreach</t>
  </si>
  <si>
    <t>correction de tous les points dans feedback</t>
  </si>
  <si>
    <t>Ajouter la persistance de l’état de l’application (local JSON)</t>
  </si>
  <si>
    <t xml:space="preserve">L'analyse du feedback avec professeur </t>
  </si>
  <si>
    <t>comments in all code, amelioreation d'expliquation du code (summary...)</t>
  </si>
  <si>
    <t>retouches du readme, Fix links and improve README formatting</t>
  </si>
  <si>
    <t>src/ api(EnforceRateLimitAsync), supprimé api request de combobox</t>
  </si>
  <si>
    <t>correction de schema de fonctionnement d'application + correction du rapport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</si>
</sst>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8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2">
    <cellStyle name="Lien hypertexte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140</c:v>
                </c:pt>
                <c:pt idx="1">
                  <c:v>875</c:v>
                </c:pt>
                <c:pt idx="2">
                  <c:v>120</c:v>
                </c:pt>
                <c:pt idx="3">
                  <c:v>330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9.556313993174062E-2</c:v>
                </c:pt>
                <c:pt idx="1">
                  <c:v>0.59726962457337884</c:v>
                </c:pt>
                <c:pt idx="2">
                  <c:v>8.191126279863481E-2</c:v>
                </c:pt>
                <c:pt idx="3">
                  <c:v>0.22525597269624573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ingecko.com/en/api?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github.com/users/Josefnademo/projects/5/views/1" TargetMode="External"/><Relationship Id="rId1" Type="http://schemas.openxmlformats.org/officeDocument/2006/relationships/hyperlink" Target="https://www.youtube.com/watch?v=HGF1fm1vmIk&amp;ab_channel=IndustrialITandAutomation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gist.github.com/takekazuomi/10955889" TargetMode="External"/><Relationship Id="rId4" Type="http://schemas.openxmlformats.org/officeDocument/2006/relationships/hyperlink" Target="https://scottplot.net/cookbook/4.1/category/plottable-scatter-plot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B1" zoomScale="115" zoomScaleNormal="115" workbookViewId="0">
      <pane ySplit="6" topLeftCell="A35" activePane="bottomLeft" state="frozen"/>
      <selection pane="bottomLeft" activeCell="F53" sqref="F53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8" t="s">
        <v>0</v>
      </c>
      <c r="B2" s="88"/>
      <c r="C2" s="86" t="s">
        <v>29</v>
      </c>
      <c r="D2" s="86"/>
      <c r="E2" s="86"/>
      <c r="F2" s="5" t="s">
        <v>1</v>
      </c>
      <c r="G2" s="64" t="s">
        <v>30</v>
      </c>
    </row>
    <row r="3" spans="1:15" ht="23.25" x14ac:dyDescent="0.35">
      <c r="A3" s="88" t="s">
        <v>5</v>
      </c>
      <c r="B3" s="88"/>
      <c r="C3" s="67" t="str">
        <f>QUOTIENT(E4,60)&amp;" heures "&amp;MOD(E4,60)&amp;" minutes"</f>
        <v>24 heures 25 minutes</v>
      </c>
      <c r="D3" s="17"/>
      <c r="E3" s="3"/>
      <c r="F3" s="4" t="s">
        <v>6</v>
      </c>
      <c r="G3" s="65" t="s">
        <v>31</v>
      </c>
    </row>
    <row r="4" spans="1:15" ht="23.25" hidden="1" x14ac:dyDescent="0.35">
      <c r="B4" s="5"/>
      <c r="C4" s="17">
        <f>SUBTOTAL(9,$C$7:$C$531)*60</f>
        <v>540</v>
      </c>
      <c r="D4" s="17">
        <f>SUBTOTAL(9,$D$7:$D$531)</f>
        <v>925</v>
      </c>
      <c r="E4" s="24">
        <f>SUM(C4:D4)</f>
        <v>1465</v>
      </c>
      <c r="F4" s="4"/>
      <c r="G4" s="6"/>
    </row>
    <row r="5" spans="1:15" x14ac:dyDescent="0.25">
      <c r="C5" s="87" t="s">
        <v>14</v>
      </c>
      <c r="D5" s="87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ht="31.5" x14ac:dyDescent="0.25">
      <c r="A7" s="61">
        <f>IF(ISBLANK(B7),"",_xlfn.ISOWEEKNUM('Journal de travail'!$B7))</f>
        <v>35</v>
      </c>
      <c r="B7" s="26">
        <v>45898</v>
      </c>
      <c r="C7" s="27"/>
      <c r="D7" s="28">
        <v>30</v>
      </c>
      <c r="E7" s="29" t="s">
        <v>2</v>
      </c>
      <c r="F7" s="23" t="s">
        <v>32</v>
      </c>
      <c r="G7" s="38"/>
    </row>
    <row r="8" spans="1:15" ht="78.75" x14ac:dyDescent="0.25">
      <c r="A8" s="62">
        <f>IF(ISBLANK(B8),"",_xlfn.ISOWEEKNUM('Journal de travail'!$B8))</f>
        <v>35</v>
      </c>
      <c r="B8" s="30">
        <v>45898</v>
      </c>
      <c r="C8" s="31"/>
      <c r="D8" s="32">
        <v>30</v>
      </c>
      <c r="E8" s="33" t="s">
        <v>4</v>
      </c>
      <c r="F8" s="23" t="s">
        <v>35</v>
      </c>
      <c r="G8" s="39" t="s">
        <v>36</v>
      </c>
      <c r="M8" t="s">
        <v>2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35</v>
      </c>
      <c r="B9" s="34">
        <v>45898</v>
      </c>
      <c r="C9" s="35"/>
      <c r="D9" s="36">
        <v>30</v>
      </c>
      <c r="E9" s="37" t="s">
        <v>2</v>
      </c>
      <c r="F9" s="23" t="s">
        <v>37</v>
      </c>
      <c r="G9" s="40" t="s">
        <v>33</v>
      </c>
      <c r="M9" t="s">
        <v>19</v>
      </c>
      <c r="N9">
        <v>2</v>
      </c>
      <c r="O9">
        <v>5</v>
      </c>
    </row>
    <row r="10" spans="1:15" ht="47.25" x14ac:dyDescent="0.25">
      <c r="A10" s="62">
        <f>IF(ISBLANK(B10),"",_xlfn.ISOWEEKNUM('Journal de travail'!$B10))</f>
        <v>35</v>
      </c>
      <c r="B10" s="30">
        <v>45898</v>
      </c>
      <c r="C10" s="31"/>
      <c r="D10" s="32">
        <v>20</v>
      </c>
      <c r="E10" s="33" t="s">
        <v>4</v>
      </c>
      <c r="F10" s="23" t="s">
        <v>34</v>
      </c>
      <c r="G10" s="85" t="s">
        <v>48</v>
      </c>
      <c r="M10" t="s">
        <v>3</v>
      </c>
      <c r="N10">
        <v>3</v>
      </c>
      <c r="O10">
        <v>10</v>
      </c>
    </row>
    <row r="11" spans="1:15" ht="110.25" x14ac:dyDescent="0.25">
      <c r="A11" s="63">
        <f>IF(ISBLANK(B11),"",_xlfn.ISOWEEKNUM('Journal de travail'!$B11))</f>
        <v>35</v>
      </c>
      <c r="B11" s="34">
        <v>45898</v>
      </c>
      <c r="C11" s="35">
        <v>1</v>
      </c>
      <c r="D11" s="36"/>
      <c r="E11" s="37" t="s">
        <v>4</v>
      </c>
      <c r="F11" s="23" t="s">
        <v>38</v>
      </c>
      <c r="G11" s="40" t="s">
        <v>39</v>
      </c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36</v>
      </c>
      <c r="B12" s="30">
        <v>45905</v>
      </c>
      <c r="C12" s="31"/>
      <c r="D12" s="32">
        <v>40</v>
      </c>
      <c r="E12" s="33" t="s">
        <v>4</v>
      </c>
      <c r="F12" s="23" t="s">
        <v>41</v>
      </c>
      <c r="G12" s="85" t="s">
        <v>40</v>
      </c>
      <c r="M12" t="s">
        <v>28</v>
      </c>
      <c r="N12">
        <v>5</v>
      </c>
      <c r="O12">
        <v>20</v>
      </c>
    </row>
    <row r="13" spans="1:15" ht="63" x14ac:dyDescent="0.25">
      <c r="A13" s="63">
        <f>IF(ISBLANK(B13),"",_xlfn.ISOWEEKNUM('Journal de travail'!$B13))</f>
        <v>36</v>
      </c>
      <c r="B13" s="34">
        <v>45905</v>
      </c>
      <c r="C13" s="35"/>
      <c r="D13" s="36">
        <v>40</v>
      </c>
      <c r="E13" s="37" t="s">
        <v>2</v>
      </c>
      <c r="F13" s="23" t="s">
        <v>42</v>
      </c>
      <c r="G13" s="84" t="s">
        <v>45</v>
      </c>
      <c r="N13">
        <v>6</v>
      </c>
      <c r="O13">
        <v>25</v>
      </c>
    </row>
    <row r="14" spans="1:15" ht="31.5" x14ac:dyDescent="0.25">
      <c r="A14" s="62">
        <f>IF(ISBLANK(B14),"",_xlfn.ISOWEEKNUM('Journal de travail'!$B14))</f>
        <v>36</v>
      </c>
      <c r="B14" s="30">
        <v>45905</v>
      </c>
      <c r="C14" s="31"/>
      <c r="D14" s="32">
        <v>40</v>
      </c>
      <c r="E14" s="33" t="s">
        <v>19</v>
      </c>
      <c r="F14" s="23" t="s">
        <v>43</v>
      </c>
      <c r="G14" s="39" t="s">
        <v>44</v>
      </c>
      <c r="N14">
        <v>7</v>
      </c>
      <c r="O14">
        <v>30</v>
      </c>
    </row>
    <row r="15" spans="1:15" ht="31.5" x14ac:dyDescent="0.25">
      <c r="A15" s="63">
        <f>IF(ISBLANK(B15),"",_xlfn.ISOWEEKNUM('Journal de travail'!$B15))</f>
        <v>36</v>
      </c>
      <c r="B15" s="34">
        <v>45905</v>
      </c>
      <c r="C15" s="35"/>
      <c r="D15" s="36">
        <v>30</v>
      </c>
      <c r="E15" s="37" t="s">
        <v>19</v>
      </c>
      <c r="F15" s="23" t="s">
        <v>46</v>
      </c>
      <c r="G15" s="40" t="s">
        <v>47</v>
      </c>
      <c r="N15">
        <v>8</v>
      </c>
      <c r="O15">
        <v>35</v>
      </c>
    </row>
    <row r="16" spans="1:15" ht="78.75" x14ac:dyDescent="0.25">
      <c r="A16" s="62">
        <f>IF(ISBLANK(B16),"",_xlfn.ISOWEEKNUM('Journal de travail'!$B16))</f>
        <v>37</v>
      </c>
      <c r="B16" s="30">
        <v>45912</v>
      </c>
      <c r="C16" s="31">
        <v>1</v>
      </c>
      <c r="D16" s="32"/>
      <c r="E16" s="33" t="s">
        <v>19</v>
      </c>
      <c r="F16" s="23" t="s">
        <v>49</v>
      </c>
      <c r="G16" s="39" t="s">
        <v>50</v>
      </c>
      <c r="O16">
        <v>40</v>
      </c>
    </row>
    <row r="17" spans="1:15" ht="47.25" x14ac:dyDescent="0.25">
      <c r="A17" s="63">
        <f>IF(ISBLANK(B17),"",_xlfn.ISOWEEKNUM('Journal de travail'!$B17))</f>
        <v>37</v>
      </c>
      <c r="B17" s="34">
        <v>45912</v>
      </c>
      <c r="C17" s="35">
        <v>1</v>
      </c>
      <c r="D17" s="36">
        <v>20</v>
      </c>
      <c r="E17" s="37" t="s">
        <v>19</v>
      </c>
      <c r="F17" s="23" t="s">
        <v>54</v>
      </c>
      <c r="G17" s="40" t="s">
        <v>55</v>
      </c>
      <c r="O17">
        <v>45</v>
      </c>
    </row>
    <row r="18" spans="1:15" x14ac:dyDescent="0.25">
      <c r="A18" s="62">
        <f>IF(ISBLANK(B18),"",_xlfn.ISOWEEKNUM('Journal de travail'!$B18))</f>
        <v>37</v>
      </c>
      <c r="B18" s="30">
        <v>45912</v>
      </c>
      <c r="C18" s="31"/>
      <c r="D18" s="32">
        <v>15</v>
      </c>
      <c r="E18" s="33" t="s">
        <v>19</v>
      </c>
      <c r="F18" s="23" t="s">
        <v>51</v>
      </c>
      <c r="G18" s="39" t="s">
        <v>52</v>
      </c>
      <c r="O18">
        <v>50</v>
      </c>
    </row>
    <row r="19" spans="1:15" x14ac:dyDescent="0.25">
      <c r="A19" s="63">
        <f>IF(ISBLANK(B19),"",_xlfn.ISOWEEKNUM('Journal de travail'!$B19))</f>
        <v>37</v>
      </c>
      <c r="B19" s="34">
        <v>45912</v>
      </c>
      <c r="C19" s="35"/>
      <c r="D19" s="36">
        <v>10</v>
      </c>
      <c r="E19" s="37" t="s">
        <v>4</v>
      </c>
      <c r="F19" s="23" t="s">
        <v>53</v>
      </c>
      <c r="G19" s="84"/>
      <c r="O19">
        <v>55</v>
      </c>
    </row>
    <row r="20" spans="1:15" ht="31.5" x14ac:dyDescent="0.25">
      <c r="A20" s="62">
        <f>IF(ISBLANK(B20),"",_xlfn.ISOWEEKNUM('Journal de travail'!$B20))</f>
        <v>39</v>
      </c>
      <c r="B20" s="30">
        <v>45926</v>
      </c>
      <c r="C20" s="31">
        <v>1</v>
      </c>
      <c r="D20" s="32">
        <v>10</v>
      </c>
      <c r="E20" s="33" t="s">
        <v>19</v>
      </c>
      <c r="F20" s="23" t="s">
        <v>57</v>
      </c>
      <c r="G20" s="85" t="s">
        <v>56</v>
      </c>
    </row>
    <row r="21" spans="1:15" x14ac:dyDescent="0.25">
      <c r="A21" s="63">
        <f>IF(ISBLANK(B21),"",_xlfn.ISOWEEKNUM('Journal de travail'!$B21))</f>
        <v>39</v>
      </c>
      <c r="B21" s="34">
        <v>45926</v>
      </c>
      <c r="C21" s="35"/>
      <c r="D21" s="36">
        <v>40</v>
      </c>
      <c r="E21" s="37" t="s">
        <v>19</v>
      </c>
      <c r="F21" s="23" t="s">
        <v>58</v>
      </c>
      <c r="G21" s="40" t="s">
        <v>59</v>
      </c>
    </row>
    <row r="22" spans="1:15" ht="31.5" x14ac:dyDescent="0.25">
      <c r="A22" s="62">
        <f>IF(ISBLANK(B22),"",_xlfn.ISOWEEKNUM('Journal de travail'!$B22))</f>
        <v>39</v>
      </c>
      <c r="B22" s="30">
        <v>45926</v>
      </c>
      <c r="C22" s="31"/>
      <c r="D22" s="32">
        <v>35</v>
      </c>
      <c r="E22" s="33" t="s">
        <v>19</v>
      </c>
      <c r="F22" s="23" t="s">
        <v>60</v>
      </c>
      <c r="G22" s="39"/>
    </row>
    <row r="23" spans="1:15" x14ac:dyDescent="0.25">
      <c r="A23" s="63">
        <f>IF(ISBLANK(B23),"",_xlfn.ISOWEEKNUM('Journal de travail'!$B23))</f>
        <v>39</v>
      </c>
      <c r="B23" s="34">
        <v>45926</v>
      </c>
      <c r="C23" s="35"/>
      <c r="D23" s="36">
        <v>10</v>
      </c>
      <c r="E23" s="37" t="s">
        <v>4</v>
      </c>
      <c r="F23" s="23" t="s">
        <v>53</v>
      </c>
      <c r="G23" s="40"/>
    </row>
    <row r="24" spans="1:15" x14ac:dyDescent="0.25">
      <c r="A24" s="62">
        <f>IF(ISBLANK(B24),"",_xlfn.ISOWEEKNUM('Journal de travail'!$B24))</f>
        <v>40</v>
      </c>
      <c r="B24" s="30">
        <v>45933</v>
      </c>
      <c r="C24" s="31"/>
      <c r="D24" s="32">
        <v>20</v>
      </c>
      <c r="E24" s="33" t="s">
        <v>2</v>
      </c>
      <c r="F24" s="23" t="s">
        <v>65</v>
      </c>
      <c r="G24" s="39" t="s">
        <v>66</v>
      </c>
    </row>
    <row r="25" spans="1:15" x14ac:dyDescent="0.25">
      <c r="A25" s="63">
        <f>IF(ISBLANK(B25),"",_xlfn.ISOWEEKNUM('Journal de travail'!$B25))</f>
        <v>40</v>
      </c>
      <c r="B25" s="34">
        <v>45933</v>
      </c>
      <c r="C25" s="35"/>
      <c r="D25" s="36">
        <v>50</v>
      </c>
      <c r="E25" s="37" t="s">
        <v>19</v>
      </c>
      <c r="F25" s="23" t="s">
        <v>61</v>
      </c>
      <c r="G25" s="84" t="s">
        <v>62</v>
      </c>
    </row>
    <row r="26" spans="1:15" ht="31.5" x14ac:dyDescent="0.25">
      <c r="A26" s="62">
        <f>IF(ISBLANK(B26),"",_xlfn.ISOWEEKNUM('Journal de travail'!$B26))</f>
        <v>40</v>
      </c>
      <c r="B26" s="30">
        <v>45933</v>
      </c>
      <c r="C26" s="31"/>
      <c r="D26" s="32">
        <v>30</v>
      </c>
      <c r="E26" s="33" t="s">
        <v>19</v>
      </c>
      <c r="F26" s="23" t="s">
        <v>64</v>
      </c>
      <c r="G26" s="39" t="s">
        <v>63</v>
      </c>
    </row>
    <row r="27" spans="1:15" x14ac:dyDescent="0.25">
      <c r="A27" s="63">
        <f>IF(ISBLANK(B27),"",_xlfn.ISOWEEKNUM('Journal de travail'!$B27))</f>
        <v>40</v>
      </c>
      <c r="B27" s="34">
        <v>45933</v>
      </c>
      <c r="C27" s="35"/>
      <c r="D27" s="36">
        <v>30</v>
      </c>
      <c r="E27" s="37" t="s">
        <v>3</v>
      </c>
      <c r="F27" s="23" t="s">
        <v>67</v>
      </c>
      <c r="G27" s="40"/>
    </row>
    <row r="28" spans="1:15" x14ac:dyDescent="0.25">
      <c r="A28" s="62">
        <f>IF(ISBLANK(B28),"",_xlfn.ISOWEEKNUM('Journal de travail'!$B28))</f>
        <v>40</v>
      </c>
      <c r="B28" s="30">
        <v>45933</v>
      </c>
      <c r="C28" s="31"/>
      <c r="D28" s="32">
        <v>10</v>
      </c>
      <c r="E28" s="33" t="s">
        <v>4</v>
      </c>
      <c r="F28" s="22" t="s">
        <v>53</v>
      </c>
      <c r="G28" s="39"/>
    </row>
    <row r="29" spans="1:15" x14ac:dyDescent="0.25">
      <c r="A29" s="63">
        <f>IF(ISBLANK(B29),"",_xlfn.ISOWEEKNUM('Journal de travail'!$B29))</f>
        <v>41</v>
      </c>
      <c r="B29" s="34">
        <v>45940</v>
      </c>
      <c r="C29" s="35"/>
      <c r="D29" s="36">
        <v>25</v>
      </c>
      <c r="E29" s="37" t="s">
        <v>19</v>
      </c>
      <c r="F29" s="22" t="s">
        <v>68</v>
      </c>
      <c r="G29" s="40"/>
    </row>
    <row r="30" spans="1:15" ht="157.5" x14ac:dyDescent="0.25">
      <c r="A30" s="62">
        <f>IF(ISBLANK(B30),"",_xlfn.ISOWEEKNUM('Journal de travail'!$B30))</f>
        <v>41</v>
      </c>
      <c r="B30" s="30">
        <v>45940</v>
      </c>
      <c r="C30" s="31">
        <v>2</v>
      </c>
      <c r="D30" s="32">
        <v>40</v>
      </c>
      <c r="E30" s="33" t="s">
        <v>19</v>
      </c>
      <c r="F30" s="23" t="s">
        <v>70</v>
      </c>
      <c r="G30" s="39" t="s">
        <v>69</v>
      </c>
    </row>
    <row r="31" spans="1:15" x14ac:dyDescent="0.25">
      <c r="A31" s="63">
        <f>IF(ISBLANK(B31),"",_xlfn.ISOWEEKNUM('Journal de travail'!$B31))</f>
        <v>41</v>
      </c>
      <c r="B31" s="34">
        <v>45940</v>
      </c>
      <c r="C31" s="35"/>
      <c r="D31" s="36">
        <v>10</v>
      </c>
      <c r="E31" s="37" t="s">
        <v>19</v>
      </c>
      <c r="F31" s="22" t="s">
        <v>71</v>
      </c>
      <c r="G31" s="84" t="s">
        <v>72</v>
      </c>
    </row>
    <row r="32" spans="1:15" x14ac:dyDescent="0.25">
      <c r="A32" s="62">
        <f>IF(ISBLANK(B32),"",_xlfn.ISOWEEKNUM('Journal de travail'!$B32))</f>
        <v>41</v>
      </c>
      <c r="B32" s="30">
        <v>45940</v>
      </c>
      <c r="C32" s="31"/>
      <c r="D32" s="32">
        <v>10</v>
      </c>
      <c r="E32" s="33" t="s">
        <v>4</v>
      </c>
      <c r="F32" s="23" t="s">
        <v>53</v>
      </c>
      <c r="G32" s="39"/>
    </row>
    <row r="33" spans="1:7" x14ac:dyDescent="0.25">
      <c r="A33" s="63">
        <f>IF(ISBLANK(B33),"",_xlfn.ISOWEEKNUM('Journal de travail'!$B33))</f>
        <v>41</v>
      </c>
      <c r="B33" s="34">
        <v>45941</v>
      </c>
      <c r="C33" s="35"/>
      <c r="D33" s="36">
        <v>15</v>
      </c>
      <c r="E33" s="37" t="s">
        <v>4</v>
      </c>
      <c r="F33" s="22" t="s">
        <v>73</v>
      </c>
      <c r="G33" s="40"/>
    </row>
    <row r="34" spans="1:7" x14ac:dyDescent="0.25">
      <c r="A34" s="62">
        <f>IF(ISBLANK(B34),"",_xlfn.ISOWEEKNUM('Journal de travail'!$B34))</f>
        <v>41</v>
      </c>
      <c r="B34" s="30">
        <v>45941</v>
      </c>
      <c r="C34" s="31">
        <v>1</v>
      </c>
      <c r="D34" s="32">
        <v>30</v>
      </c>
      <c r="E34" s="33" t="s">
        <v>3</v>
      </c>
      <c r="F34" s="22" t="s">
        <v>74</v>
      </c>
      <c r="G34" s="39"/>
    </row>
    <row r="35" spans="1:7" x14ac:dyDescent="0.25">
      <c r="A35" s="63">
        <f>IF(ISBLANK(B35),"",_xlfn.ISOWEEKNUM('Journal de travail'!$B35))</f>
        <v>41</v>
      </c>
      <c r="B35" s="34">
        <v>45941</v>
      </c>
      <c r="C35" s="35"/>
      <c r="D35" s="36">
        <v>25</v>
      </c>
      <c r="E35" s="37" t="s">
        <v>4</v>
      </c>
      <c r="F35" s="23" t="s">
        <v>75</v>
      </c>
      <c r="G35" s="40"/>
    </row>
    <row r="36" spans="1:7" x14ac:dyDescent="0.25">
      <c r="A36" s="62">
        <f>IF(ISBLANK(B36),"",_xlfn.ISOWEEKNUM('Journal de travail'!$B36))</f>
        <v>41</v>
      </c>
      <c r="B36" s="30">
        <v>45941</v>
      </c>
      <c r="C36" s="31"/>
      <c r="D36" s="32">
        <v>45</v>
      </c>
      <c r="E36" s="33" t="s">
        <v>4</v>
      </c>
      <c r="F36" s="22" t="s">
        <v>76</v>
      </c>
      <c r="G36" s="39"/>
    </row>
    <row r="37" spans="1:7" x14ac:dyDescent="0.25">
      <c r="A37" s="63">
        <f>IF(ISBLANK(B37),"",_xlfn.ISOWEEKNUM('Journal de travail'!$B37))</f>
        <v>41</v>
      </c>
      <c r="B37" s="34">
        <v>45941</v>
      </c>
      <c r="C37" s="35"/>
      <c r="D37" s="36">
        <v>15</v>
      </c>
      <c r="E37" s="37" t="s">
        <v>19</v>
      </c>
      <c r="F37" s="22" t="s">
        <v>77</v>
      </c>
      <c r="G37" s="40"/>
    </row>
    <row r="38" spans="1:7" x14ac:dyDescent="0.25">
      <c r="A38" s="62">
        <f>IF(ISBLANK(B38),"",_xlfn.ISOWEEKNUM('Journal de travail'!$B38))</f>
        <v>41</v>
      </c>
      <c r="B38" s="30">
        <v>45941</v>
      </c>
      <c r="C38" s="31">
        <v>1</v>
      </c>
      <c r="D38" s="32"/>
      <c r="E38" s="33" t="s">
        <v>19</v>
      </c>
      <c r="F38" s="22" t="s">
        <v>78</v>
      </c>
      <c r="G38" s="39"/>
    </row>
    <row r="39" spans="1:7" x14ac:dyDescent="0.25">
      <c r="A39" s="63">
        <f>IF(ISBLANK(B39),"",_xlfn.ISOWEEKNUM('Journal de travail'!$B39))</f>
        <v>44</v>
      </c>
      <c r="B39" s="34">
        <v>45957</v>
      </c>
      <c r="C39" s="35">
        <v>1</v>
      </c>
      <c r="D39" s="36">
        <v>20</v>
      </c>
      <c r="E39" s="37" t="s">
        <v>19</v>
      </c>
      <c r="F39" s="22" t="s">
        <v>79</v>
      </c>
      <c r="G39" s="40"/>
    </row>
    <row r="40" spans="1:7" x14ac:dyDescent="0.25">
      <c r="A40" s="62">
        <f>IF(ISBLANK(B40),"",_xlfn.ISOWEEKNUM('Journal de travail'!$B40))</f>
        <v>44</v>
      </c>
      <c r="B40" s="30">
        <v>45961</v>
      </c>
      <c r="C40" s="31"/>
      <c r="D40" s="32">
        <v>20</v>
      </c>
      <c r="E40" s="33" t="s">
        <v>2</v>
      </c>
      <c r="F40" s="22" t="s">
        <v>80</v>
      </c>
      <c r="G40" s="39"/>
    </row>
    <row r="41" spans="1:7" x14ac:dyDescent="0.25">
      <c r="A41" s="63">
        <f>IF(ISBLANK(B41),"",_xlfn.ISOWEEKNUM('Journal de travail'!$B41))</f>
        <v>44</v>
      </c>
      <c r="B41" s="34">
        <v>45961</v>
      </c>
      <c r="C41" s="35"/>
      <c r="D41" s="36">
        <v>45</v>
      </c>
      <c r="E41" s="37" t="s">
        <v>19</v>
      </c>
      <c r="F41" s="22" t="s">
        <v>81</v>
      </c>
      <c r="G41" s="40"/>
    </row>
    <row r="42" spans="1:7" x14ac:dyDescent="0.25">
      <c r="A42" s="62">
        <f>IF(ISBLANK(B42),"",_xlfn.ISOWEEKNUM('Journal de travail'!$B42))</f>
        <v>44</v>
      </c>
      <c r="B42" s="30">
        <v>45961</v>
      </c>
      <c r="C42" s="31"/>
      <c r="D42" s="32">
        <v>10</v>
      </c>
      <c r="E42" s="33" t="s">
        <v>4</v>
      </c>
      <c r="F42" s="22" t="s">
        <v>82</v>
      </c>
      <c r="G42" s="39"/>
    </row>
    <row r="43" spans="1:7" x14ac:dyDescent="0.25">
      <c r="A43" s="63">
        <f>IF(ISBLANK(B43),"",_xlfn.ISOWEEKNUM('Journal de travail'!$B43))</f>
        <v>44</v>
      </c>
      <c r="B43" s="34">
        <v>45961</v>
      </c>
      <c r="C43" s="35"/>
      <c r="D43" s="36">
        <v>30</v>
      </c>
      <c r="E43" s="37" t="s">
        <v>19</v>
      </c>
      <c r="F43" s="22" t="s">
        <v>83</v>
      </c>
      <c r="G43" s="40"/>
    </row>
    <row r="44" spans="1:7" x14ac:dyDescent="0.25">
      <c r="A44" s="62">
        <f>IF(ISBLANK(B44),"",_xlfn.ISOWEEKNUM('Journal de travail'!$B44))</f>
        <v>44</v>
      </c>
      <c r="B44" s="30">
        <v>45961</v>
      </c>
      <c r="C44" s="31"/>
      <c r="D44" s="32">
        <v>10</v>
      </c>
      <c r="E44" s="33" t="s">
        <v>4</v>
      </c>
      <c r="F44" s="22" t="s">
        <v>53</v>
      </c>
      <c r="G44" s="39"/>
    </row>
    <row r="45" spans="1:7" x14ac:dyDescent="0.25">
      <c r="A45" s="63">
        <f>IF(ISBLANK(B45),"",_xlfn.ISOWEEKNUM('Journal de travail'!$B45))</f>
        <v>44</v>
      </c>
      <c r="B45" s="34">
        <v>45961</v>
      </c>
      <c r="C45" s="35"/>
      <c r="D45" s="36">
        <v>15</v>
      </c>
      <c r="E45" s="37" t="s">
        <v>4</v>
      </c>
      <c r="F45" s="22" t="s">
        <v>73</v>
      </c>
      <c r="G45" s="40"/>
    </row>
    <row r="46" spans="1:7" x14ac:dyDescent="0.25">
      <c r="A46" s="62">
        <f>IF(ISBLANK(B46),"",_xlfn.ISOWEEKNUM('Journal de travail'!$B46))</f>
        <v>46</v>
      </c>
      <c r="B46" s="30">
        <v>45974</v>
      </c>
      <c r="C46" s="31"/>
      <c r="D46" s="32">
        <v>20</v>
      </c>
      <c r="E46" s="33" t="s">
        <v>4</v>
      </c>
      <c r="F46" s="22" t="s">
        <v>84</v>
      </c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hyperlinks>
    <hyperlink ref="G13" r:id="rId1" display="https://www.youtube.com/watch?v=HGF1fm1vmIk&amp;ab_channel=IndustrialITandAutomation" xr:uid="{336CBD97-FBE6-4DA0-92F1-7E19F61FE3AA}"/>
    <hyperlink ref="G12" r:id="rId2" xr:uid="{160CB3A4-60AC-4C67-9742-E843A97D81B7}"/>
    <hyperlink ref="G10" r:id="rId3" xr:uid="{0F91120E-3455-4E0F-8C60-6729CE2C909C}"/>
    <hyperlink ref="G20" r:id="rId4" xr:uid="{4AC877DD-0538-4960-9300-3F6AF2D7E0D5}"/>
    <hyperlink ref="G31" r:id="rId5" xr:uid="{14778DBD-AC08-49BE-B816-D74CEFC0A64E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workbookViewId="0">
      <selection activeCell="N7" sqref="N7"/>
    </sheetView>
  </sheetViews>
  <sheetFormatPr baseColWidth="10" defaultColWidth="11.25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140</v>
      </c>
      <c r="C6">
        <f t="shared" ref="C6:C10" si="0">SUM(A6:B6)</f>
        <v>140</v>
      </c>
      <c r="E6" s="70" t="str">
        <f>'Journal de travail'!M8</f>
        <v>Analyse</v>
      </c>
      <c r="F6" s="71" t="str">
        <f>QUOTIENT(SUM(A6:B6),60)&amp;" h "&amp;TEXT(MOD(SUM(A6:B6),60), "00")&amp;" min"</f>
        <v>2 h 20 min</v>
      </c>
      <c r="G6" s="72">
        <f>SUM(A6:B6)/$C$11</f>
        <v>9.556313993174062E-2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">
      <c r="A7">
        <f>SUMIF('Journal de travail'!$E$7:$E$532,Plannification!E7,'Journal de travail'!$C$7:$C$532)*60</f>
        <v>420</v>
      </c>
      <c r="B7">
        <f>SUMIF('Journal de travail'!$E$7:$E$532,Plannification!E7,'Journal de travail'!$D$7:$D$532)</f>
        <v>455</v>
      </c>
      <c r="C7">
        <f t="shared" si="0"/>
        <v>875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14 h 35 min</v>
      </c>
      <c r="G7" s="75">
        <f t="shared" ref="G7:G9" si="2">SUM(A7:B7)/$C$11</f>
        <v>0.59726962457337884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">
      <c r="A8">
        <f>SUMIF('Journal de travail'!$E$7:$E$532,Plannification!E8,'Journal de travail'!$C$7:$C$532)*60</f>
        <v>60</v>
      </c>
      <c r="B8">
        <f>SUMIF('Journal de travail'!$E$7:$E$532,Plannification!E8,'Journal de travail'!$D$7:$D$532)</f>
        <v>60</v>
      </c>
      <c r="C8">
        <f t="shared" si="0"/>
        <v>120</v>
      </c>
      <c r="E8" s="76" t="str">
        <f>'Journal de travail'!M10</f>
        <v>Test</v>
      </c>
      <c r="F8" s="71" t="str">
        <f t="shared" si="1"/>
        <v>2 h 00 min</v>
      </c>
      <c r="G8" s="72">
        <f t="shared" si="2"/>
        <v>8.191126279863481E-2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">
      <c r="A9">
        <f>SUMIF('Journal de travail'!$E$7:$E$532,Plannification!E9,'Journal de travail'!$C$7:$C$532)*60</f>
        <v>60</v>
      </c>
      <c r="B9">
        <f>SUMIF('Journal de travail'!$E$7:$E$532,Plannification!E9,'Journal de travail'!$D$7:$D$532)</f>
        <v>270</v>
      </c>
      <c r="C9">
        <f t="shared" si="0"/>
        <v>330</v>
      </c>
      <c r="E9" s="77" t="str">
        <f>'Journal de travail'!M11</f>
        <v>Documentation</v>
      </c>
      <c r="F9" s="74" t="str">
        <f t="shared" si="1"/>
        <v>5 h 30 min</v>
      </c>
      <c r="G9" s="75">
        <f t="shared" si="2"/>
        <v>0.22525597269624573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540</v>
      </c>
      <c r="B11">
        <f>SUM(B6:B10)</f>
        <v>925</v>
      </c>
      <c r="C11">
        <f>SUM(A11:B11)</f>
        <v>1465</v>
      </c>
      <c r="E11" s="81" t="s">
        <v>18</v>
      </c>
      <c r="F11" s="71" t="str">
        <f t="shared" si="1"/>
        <v>24 h 25 min</v>
      </c>
      <c r="G11" s="82">
        <f>C11/C12</f>
        <v>1.0173611111111112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1440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topLeftCell="A4" zoomScale="85" zoomScaleNormal="85" workbookViewId="0">
      <selection activeCell="R14" sqref="R14"/>
    </sheetView>
  </sheetViews>
  <sheetFormatPr baseColWidth="10" defaultColWidth="11.25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2025-11-13T09:25:57Z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