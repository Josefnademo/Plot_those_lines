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lot_those_lines\doc\"/>
    </mc:Choice>
  </mc:AlternateContent>
  <xr:revisionPtr revIDLastSave="0" documentId="13_ncr:1_{1597B19B-8391-4D63-8F75-505221655BA8}" xr6:coauthVersionLast="47" xr6:coauthVersionMax="47" xr10:uidLastSave="{00000000-0000-0000-0000-000000000000}"/>
  <bookViews>
    <workbookView xWindow="780" yWindow="78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<sst xmlns="http://schemas.openxmlformats.org/spreadsheetml/2006/main" count="130" uniqueCount="84">
  <si>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</si>
  <si>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</si>
  <si>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</si>
  <si>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</si>
  <si>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</si>
  <si>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</si>
  <si>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</si>
  <si>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</si>
  <si>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</si>
  <si>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</si>
  <si>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</si>
  <si>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</si>
  <si>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</si>
  <si>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</si>
  <si>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</si>
  <si>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</si>
  <si>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</si>
  <si>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</si>
  <si>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</si>
  <si>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</si>
  <si>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</si>
  <si>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</si>
  <si>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</si>
  <si>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</si>
  <si>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</si>
  <si>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</si>
  <si>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</si>
  <si>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</si>
  <si>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</si>
  <si>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</si>
  <si>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</si>
  <si>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</si>
  <si>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</si>
  <si>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</si>
  <si>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</si>
  <si>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</si>
  <si>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</si>
  <si>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</si>
  <si>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</si>
  <si>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</si>
  <si>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</si>
  <si>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</si>
  <si>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</si>
  <si>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</si>
  <si>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</si>
  <si>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</si>
  <si>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</si>
  <si>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</si>
  <si>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</si>
  <si>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</si>
  <si>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</si>
  <si>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</si>
  <si>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</si>
  <si>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</si>
  <si>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</si>
  <si>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</si>
  <si>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</si>
  <si>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</si>
  <si>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</si>
  <si>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</si>
  <si>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</si>
  <si>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</si>
  <si>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</si>
  <si>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</si>
  <si>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</si>
  <si>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</si>
  <si>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</si>
  <si>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</si>
  <si>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</si>
  <si>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</si>
  <si>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</si>
  <si>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</si>
  <si>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</si>
  <si>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</si>
  <si>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</si>
  <si>
    <t>documentation(Rapport(tests UINT, test acceptation))</t>
  </si>
  <si>
    <t>documentation(Rapport(Réalisation,Objectifs pédagogiques,Utilisation de l’IA, bilan technique, bilan personnel ,Conclusion)</t>
  </si>
  <si>
    <t>foreach-&gt; linq foreach</t>
  </si>
  <si>
    <t>correction de tous les points dans feedback</t>
  </si>
  <si>
    <t>Ajouter la persistance de l’état de l’application (local JSON)</t>
  </si>
  <si>
    <t xml:space="preserve">L'analyse du feedback avec professeur </t>
  </si>
  <si>
    <t>comments in all code, amelioreation d'expliquation du code (summary...)</t>
  </si>
  <si>
    <t>retouches du readme, Fix links and improve README formatting</t>
  </si>
  <si>
    <t>src/ api(EnforceRateLimitAsync), supprimé api request de combobox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</si>
</sst>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140</c:v>
                </c:pt>
                <c:pt idx="1">
                  <c:v>875</c:v>
                </c:pt>
                <c:pt idx="2">
                  <c:v>120</c:v>
                </c:pt>
                <c:pt idx="3">
                  <c:v>285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9.8591549295774641E-2</c:v>
                </c:pt>
                <c:pt idx="1">
                  <c:v>0.61619718309859151</c:v>
                </c:pt>
                <c:pt idx="2">
                  <c:v>8.4507042253521125E-2</c:v>
                </c:pt>
                <c:pt idx="3">
                  <c:v>0.20070422535211269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39" activePane="bottomLeft" state="frozen"/>
      <selection pane="bottomLeft" activeCell="F49" sqref="F4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23 heures 40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540</v>
      </c>
      <c r="D4" s="17">
        <f>SUBTOTAL(9,$D$7:$D$531)</f>
        <v>880</v>
      </c>
      <c r="E4" s="24">
        <f>SUM(C4:D4)</f>
        <v>1420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.75" x14ac:dyDescent="0.25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47.25" x14ac:dyDescent="0.25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10.25" x14ac:dyDescent="0.25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3" x14ac:dyDescent="0.25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5" x14ac:dyDescent="0.25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.75" x14ac:dyDescent="0.25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7.25" x14ac:dyDescent="0.25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25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25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31.5" x14ac:dyDescent="0.25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25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5" x14ac:dyDescent="0.25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25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25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25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5" x14ac:dyDescent="0.25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25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25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7.5" x14ac:dyDescent="0.25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25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25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25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25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25">
      <c r="A35" s="63">
        <f>IF(ISBLANK(B35),"",_xlfn.ISOWEEKNUM('Journal de travail'!$B35))</f>
        <v>41</v>
      </c>
      <c r="B35" s="34">
        <v>45941</v>
      </c>
      <c r="C35" s="35"/>
      <c r="D35" s="36">
        <v>25</v>
      </c>
      <c r="E35" s="37" t="s">
        <v>4</v>
      </c>
      <c r="F35" s="23" t="s">
        <v>75</v>
      </c>
      <c r="G35" s="40"/>
    </row>
    <row r="36" spans="1:7" x14ac:dyDescent="0.25">
      <c r="A36" s="62">
        <f>IF(ISBLANK(B36),"",_xlfn.ISOWEEKNUM('Journal de travail'!$B36))</f>
        <v>41</v>
      </c>
      <c r="B36" s="30">
        <v>45941</v>
      </c>
      <c r="C36" s="31"/>
      <c r="D36" s="32">
        <v>45</v>
      </c>
      <c r="E36" s="33" t="s">
        <v>4</v>
      </c>
      <c r="F36" s="22" t="s">
        <v>76</v>
      </c>
      <c r="G36" s="39"/>
    </row>
    <row r="37" spans="1:7" x14ac:dyDescent="0.25">
      <c r="A37" s="63">
        <f>IF(ISBLANK(B37),"",_xlfn.ISOWEEKNUM('Journal de travail'!$B37))</f>
        <v>41</v>
      </c>
      <c r="B37" s="34">
        <v>45941</v>
      </c>
      <c r="C37" s="35"/>
      <c r="D37" s="36">
        <v>15</v>
      </c>
      <c r="E37" s="37" t="s">
        <v>19</v>
      </c>
      <c r="F37" s="22" t="s">
        <v>77</v>
      </c>
      <c r="G37" s="40"/>
    </row>
    <row r="38" spans="1:7" x14ac:dyDescent="0.25">
      <c r="A38" s="62">
        <f>IF(ISBLANK(B38),"",_xlfn.ISOWEEKNUM('Journal de travail'!$B38))</f>
        <v>41</v>
      </c>
      <c r="B38" s="30">
        <v>45941</v>
      </c>
      <c r="C38" s="31">
        <v>1</v>
      </c>
      <c r="D38" s="32"/>
      <c r="E38" s="33" t="s">
        <v>19</v>
      </c>
      <c r="F38" s="22" t="s">
        <v>78</v>
      </c>
      <c r="G38" s="39"/>
    </row>
    <row r="39" spans="1:7" x14ac:dyDescent="0.25">
      <c r="A39" s="63">
        <f>IF(ISBLANK(B39),"",_xlfn.ISOWEEKNUM('Journal de travail'!$B39))</f>
        <v>44</v>
      </c>
      <c r="B39" s="34">
        <v>45957</v>
      </c>
      <c r="C39" s="35">
        <v>1</v>
      </c>
      <c r="D39" s="36">
        <v>20</v>
      </c>
      <c r="E39" s="37" t="s">
        <v>19</v>
      </c>
      <c r="F39" s="22" t="s">
        <v>79</v>
      </c>
      <c r="G39" s="40"/>
    </row>
    <row r="40" spans="1:7" x14ac:dyDescent="0.25">
      <c r="A40" s="62">
        <f>IF(ISBLANK(B40),"",_xlfn.ISOWEEKNUM('Journal de travail'!$B40))</f>
        <v>44</v>
      </c>
      <c r="B40" s="30">
        <v>45961</v>
      </c>
      <c r="C40" s="31"/>
      <c r="D40" s="32">
        <v>20</v>
      </c>
      <c r="E40" s="33" t="s">
        <v>2</v>
      </c>
      <c r="F40" s="22" t="s">
        <v>80</v>
      </c>
      <c r="G40" s="39"/>
    </row>
    <row r="41" spans="1:7" x14ac:dyDescent="0.25">
      <c r="A41" s="63">
        <f>IF(ISBLANK(B41),"",_xlfn.ISOWEEKNUM('Journal de travail'!$B41))</f>
        <v>44</v>
      </c>
      <c r="B41" s="34">
        <v>45961</v>
      </c>
      <c r="C41" s="35"/>
      <c r="D41" s="36">
        <v>45</v>
      </c>
      <c r="E41" s="37" t="s">
        <v>19</v>
      </c>
      <c r="F41" s="22" t="s">
        <v>81</v>
      </c>
      <c r="G41" s="40"/>
    </row>
    <row r="42" spans="1:7" x14ac:dyDescent="0.25">
      <c r="A42" s="62">
        <f>IF(ISBLANK(B42),"",_xlfn.ISOWEEKNUM('Journal de travail'!$B42))</f>
        <v>44</v>
      </c>
      <c r="B42" s="30">
        <v>45961</v>
      </c>
      <c r="C42" s="31"/>
      <c r="D42" s="32">
        <v>10</v>
      </c>
      <c r="E42" s="33" t="s">
        <v>4</v>
      </c>
      <c r="F42" s="22" t="s">
        <v>82</v>
      </c>
      <c r="G42" s="39"/>
    </row>
    <row r="43" spans="1:7" x14ac:dyDescent="0.25">
      <c r="A43" s="63">
        <f>IF(ISBLANK(B43),"",_xlfn.ISOWEEKNUM('Journal de travail'!$B43))</f>
        <v>44</v>
      </c>
      <c r="B43" s="34">
        <v>45961</v>
      </c>
      <c r="C43" s="35"/>
      <c r="D43" s="36">
        <v>30</v>
      </c>
      <c r="E43" s="37" t="s">
        <v>19</v>
      </c>
      <c r="F43" s="22" t="s">
        <v>83</v>
      </c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140</v>
      </c>
      <c r="C6">
        <f t="shared" ref="C6:C10" si="0">SUM(A6:B6)</f>
        <v>140</v>
      </c>
      <c r="E6" s="70" t="str">
        <f>'Journal de travail'!M8</f>
        <v>Analyse</v>
      </c>
      <c r="F6" s="71" t="str">
        <f>QUOTIENT(SUM(A6:B6),60)&amp;" h "&amp;TEXT(MOD(SUM(A6:B6),60), "00")&amp;" min"</f>
        <v>2 h 20 min</v>
      </c>
      <c r="G6" s="72">
        <f>SUM(A6:B6)/$C$11</f>
        <v>9.8591549295774641E-2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455</v>
      </c>
      <c r="C7">
        <f t="shared" si="0"/>
        <v>875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14 h 35 min</v>
      </c>
      <c r="G7" s="75">
        <f t="shared" ref="G7:G9" si="2">SUM(A7:B7)/$C$11</f>
        <v>0.61619718309859151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8.4507042253521125E-2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225</v>
      </c>
      <c r="C9">
        <f t="shared" si="0"/>
        <v>285</v>
      </c>
      <c r="E9" s="77" t="str">
        <f>'Journal de travail'!M11</f>
        <v>Documentation</v>
      </c>
      <c r="F9" s="74" t="str">
        <f t="shared" si="1"/>
        <v>4 h 45 min</v>
      </c>
      <c r="G9" s="75">
        <f t="shared" si="2"/>
        <v>0.20070422535211269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540</v>
      </c>
      <c r="B11">
        <f>SUM(B6:B10)</f>
        <v>880</v>
      </c>
      <c r="C11">
        <f>SUM(A11:B11)</f>
        <v>1420</v>
      </c>
      <c r="E11" s="81" t="s">
        <v>18</v>
      </c>
      <c r="F11" s="71" t="str">
        <f t="shared" si="1"/>
        <v>23 h 40 min</v>
      </c>
      <c r="G11" s="82">
        <f>C11/C12</f>
        <v>0.98611111111111116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2025-10-31T14:33:04Z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