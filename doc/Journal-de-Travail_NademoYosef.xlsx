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djdj\Documents\GitHub\Plot_those_lines\doc\"/>
    </mc:Choice>
  </mc:AlternateContent>
  <xr:revisionPtr revIDLastSave="0" documentId="13_ncr:1_{500D78E2-6541-4EC1-8B6F-A709CF78E34D}" xr6:coauthVersionLast="47" xr6:coauthVersionMax="47" xr10:uidLastSave="{00000000-0000-0000-0000-000000000000}"/>
  <bookViews>
    <workbookView xWindow="-108" yWindow="-108" windowWidth="23256" windowHeight="12456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<sst xmlns="http://schemas.openxmlformats.org/spreadsheetml/2006/main" count="118" uniqueCount="78">
  <si>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</si>
  <si>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</si>
  <si>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</si>
  <si>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</si>
  <si>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</si>
  <si>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</si>
  <si>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</si>
  <si>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</si>
  <si>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</si>
  <si>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</si>
  <si>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</si>
  <si>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</si>
  <si>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</si>
  <si>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</si>
  <si>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</si>
  <si>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</si>
  <si>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</si>
  <si>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</si>
  <si>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</si>
  <si>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</si>
  <si>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</si>
  <si>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</si>
  <si>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</si>
  <si>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</si>
  <si>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</si>
  <si>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</si>
  <si>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</si>
  <si>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</si>
  <si>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</si>
  <si>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</si>
  <si>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</si>
  <si>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</si>
  <si>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</si>
  <si>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</si>
  <si>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</si>
  <si>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</si>
  <si>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</si>
  <si>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</si>
  <si>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</si>
  <si>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</si>
  <si>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</si>
  <si>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</si>
  <si>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</si>
  <si>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</si>
  <si>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</si>
  <si>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</si>
  <si>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</si>
  <si>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</si>
  <si>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</si>
  <si>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</si>
  <si>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</si>
  <si>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</si>
  <si>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</si>
  <si>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</si>
  <si>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</si>
  <si>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</si>
  <si>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</si>
  <si>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</si>
  <si>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</si>
  <si>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</si>
  <si>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</si>
  <si>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</si>
  <si>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</si>
  <si>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</si>
  <si>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</si>
  <si>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</si>
  <si>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</si>
  <si>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</si>
  <si>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</si>
  <si>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</si>
  <si>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</si>
  <si>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</si>
  <si>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</si>
  <si>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</si>
  <si>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</si>
  <si>
    <t>documentation(Rapport(tests UINT, test acceptation))</t>
  </si>
  <si>
    <t>documentation(Rapport(Réalisation,Objectifs pédagogiques,Utilisation de l’IA, bilan technique, bilan personnel ,Conclusion)</t>
  </si>
  <si>
    <t>foreach-&gt; linq foreach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</si>
</sst>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120</c:v>
                </c:pt>
                <c:pt idx="1">
                  <c:v>660</c:v>
                </c:pt>
                <c:pt idx="2">
                  <c:v>120</c:v>
                </c:pt>
                <c:pt idx="3">
                  <c:v>275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0.10212765957446808</c:v>
                </c:pt>
                <c:pt idx="1">
                  <c:v>0.5617021276595745</c:v>
                </c:pt>
                <c:pt idx="2">
                  <c:v>0.10212765957446808</c:v>
                </c:pt>
                <c:pt idx="3">
                  <c:v>0.23404255319148937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26" activePane="bottomLeft" state="frozen"/>
      <selection pane="bottomLeft" activeCell="G28" sqref="G28"/>
    </sheetView>
  </sheetViews>
  <sheetFormatPr defaultColWidth="11" defaultRowHeight="15.6" x14ac:dyDescent="0.3"/>
  <cols>
    <col min="1" max="1" width="14.5" style="7" bestFit="1" customWidth="1"/>
    <col min="2" max="2" width="11.8984375" style="1" customWidth="1"/>
    <col min="3" max="3" width="12.09765625" style="2" bestFit="1" customWidth="1"/>
    <col min="4" max="4" width="10.5" style="2" bestFit="1" customWidth="1"/>
    <col min="5" max="5" width="14.09765625" bestFit="1" customWidth="1"/>
    <col min="6" max="6" width="83.5" customWidth="1"/>
    <col min="7" max="7" width="72.09765625" customWidth="1"/>
    <col min="10" max="10" width="7.09765625" bestFit="1" customWidth="1"/>
    <col min="11" max="11" width="13.8984375" bestFit="1" customWidth="1"/>
    <col min="12" max="12" width="4.09765625" bestFit="1" customWidth="1"/>
    <col min="13" max="13" width="14.3984375" hidden="1" customWidth="1"/>
    <col min="14" max="14" width="4.59765625" hidden="1" customWidth="1"/>
    <col min="15" max="15" width="7.59765625" hidden="1" customWidth="1"/>
  </cols>
  <sheetData>
    <row r="1" spans="1:15" ht="23.4" x14ac:dyDescent="0.45">
      <c r="A1" s="8"/>
      <c r="B1" s="9"/>
      <c r="C1" s="10"/>
      <c r="D1" s="10"/>
      <c r="E1" s="11"/>
      <c r="F1" s="12" t="s">
        <v>27</v>
      </c>
      <c r="G1" s="11"/>
    </row>
    <row r="2" spans="1:15" ht="23.4" x14ac:dyDescent="0.4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4" x14ac:dyDescent="0.45">
      <c r="A3" s="88" t="s">
        <v>5</v>
      </c>
      <c r="B3" s="88"/>
      <c r="C3" s="67" t="str">
        <f>QUOTIENT(E4,60)&amp;" heures "&amp;MOD(E4,60)&amp;" minutes"</f>
        <v>19 heures 35 minutes</v>
      </c>
      <c r="D3" s="17"/>
      <c r="E3" s="3"/>
      <c r="F3" s="4" t="s">
        <v>6</v>
      </c>
      <c r="G3" s="65" t="s">
        <v>31</v>
      </c>
    </row>
    <row r="4" spans="1:15" ht="23.4" hidden="1" x14ac:dyDescent="0.45">
      <c r="B4" s="5"/>
      <c r="C4" s="17">
        <f>SUBTOTAL(9,$C$7:$C$531)*60</f>
        <v>420</v>
      </c>
      <c r="D4" s="17">
        <f>SUBTOTAL(9,$D$7:$D$531)</f>
        <v>755</v>
      </c>
      <c r="E4" s="24">
        <f>SUM(C4:D4)</f>
        <v>1175</v>
      </c>
      <c r="F4" s="4"/>
      <c r="G4" s="6"/>
    </row>
    <row r="5" spans="1:15" x14ac:dyDescent="0.3">
      <c r="C5" s="87" t="s">
        <v>14</v>
      </c>
      <c r="D5" s="87"/>
    </row>
    <row r="6" spans="1:15" s="15" customFormat="1" ht="20.100000000000001" customHeight="1" x14ac:dyDescent="0.35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2" x14ac:dyDescent="0.3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" x14ac:dyDescent="0.3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3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62.4" x14ac:dyDescent="0.3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09.2" x14ac:dyDescent="0.3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3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2.4" x14ac:dyDescent="0.3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2" x14ac:dyDescent="0.3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2" x14ac:dyDescent="0.3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" x14ac:dyDescent="0.3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6.8" x14ac:dyDescent="0.3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3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3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46.8" x14ac:dyDescent="0.3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3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2" x14ac:dyDescent="0.3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3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3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3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2" x14ac:dyDescent="0.3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3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3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3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6" x14ac:dyDescent="0.3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3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3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3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3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3">
      <c r="A35" s="63">
        <f>IF(ISBLANK(B35),"",_xlfn.ISOWEEKNUM('Journal de travail'!$B35))</f>
        <v>41</v>
      </c>
      <c r="B35" s="34">
        <v>45941</v>
      </c>
      <c r="C35" s="35"/>
      <c r="D35" s="36">
        <v>25</v>
      </c>
      <c r="E35" s="37" t="s">
        <v>4</v>
      </c>
      <c r="F35" s="23" t="s">
        <v>75</v>
      </c>
      <c r="G35" s="40"/>
    </row>
    <row r="36" spans="1:7" x14ac:dyDescent="0.3">
      <c r="A36" s="62">
        <f>IF(ISBLANK(B36),"",_xlfn.ISOWEEKNUM('Journal de travail'!$B36))</f>
        <v>41</v>
      </c>
      <c r="B36" s="30">
        <v>45941</v>
      </c>
      <c r="C36" s="31"/>
      <c r="D36" s="32">
        <v>45</v>
      </c>
      <c r="E36" s="33" t="s">
        <v>4</v>
      </c>
      <c r="F36" s="22" t="s">
        <v>76</v>
      </c>
      <c r="G36" s="39"/>
    </row>
    <row r="37" spans="1:7" x14ac:dyDescent="0.3">
      <c r="A37" s="63">
        <f>IF(ISBLANK(B37),"",_xlfn.ISOWEEKNUM('Journal de travail'!$B37))</f>
        <v>41</v>
      </c>
      <c r="B37" s="34">
        <v>45941</v>
      </c>
      <c r="C37" s="35"/>
      <c r="D37" s="36">
        <v>15</v>
      </c>
      <c r="E37" s="37" t="s">
        <v>19</v>
      </c>
      <c r="F37" s="22" t="s">
        <v>77</v>
      </c>
      <c r="G37" s="40"/>
    </row>
    <row r="38" spans="1:7" x14ac:dyDescent="0.3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3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3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3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3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3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3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3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3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3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3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3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3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3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3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3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3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3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3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3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3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3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3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3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3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3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3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3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3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3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3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3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3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3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3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3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3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3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3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3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3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3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3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3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3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3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3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3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3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3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3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3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3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3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3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3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3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3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3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3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3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3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3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3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3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3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3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3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3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3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3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3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3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3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3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3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3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3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3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3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3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3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3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3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3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3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3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3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3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3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3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3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3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3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3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3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3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3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3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3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3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3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3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3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3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3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3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3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3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3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3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3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3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3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3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3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3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3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3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3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3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3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3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3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3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3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3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3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3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3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3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3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3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3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3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3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3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3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3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3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3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3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3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3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3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3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3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3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3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3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3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3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3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3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3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3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3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3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3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3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3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3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3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3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3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3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3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3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3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3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3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3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3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3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3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3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3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3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3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3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3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3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3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3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3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3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3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3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3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3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3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3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3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3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3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3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3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3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3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3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3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3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3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3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3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3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3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3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3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3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3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3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3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3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3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3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3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3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3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3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3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3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3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3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3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3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3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3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3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3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3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3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3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3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3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3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3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3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3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3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3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3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3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3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3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3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3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3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3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3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3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3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3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3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3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3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3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3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3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3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3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3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3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3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3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3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3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3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3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3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3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3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3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3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3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3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3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3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3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3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3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3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3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3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3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3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3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3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3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3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3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3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3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3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3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3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3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3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3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3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3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3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3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3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3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3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3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3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3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3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3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3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3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3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3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3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3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3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3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3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3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3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3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3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3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3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3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3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3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3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3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3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3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3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3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3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3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3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3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3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3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3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3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3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3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3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3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3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3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3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3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3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3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3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3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3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3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3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3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3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3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3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3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3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3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3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3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3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3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3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3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3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3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3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3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3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3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3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3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3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3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3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3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3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3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3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3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3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3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3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3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3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3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3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3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3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3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3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3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3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3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3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3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3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3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3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3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3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3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3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3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3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3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3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3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3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3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3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3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3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3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3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3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3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3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3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3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3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3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3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3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3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3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3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3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3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3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3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3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3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3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3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3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3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3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3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3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3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3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3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3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3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3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3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3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3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3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3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3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3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3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3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3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3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3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3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3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3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3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3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3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3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3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3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3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3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3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3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3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3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3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3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3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3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3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3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3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3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3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3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3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3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3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3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3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defaultColWidth="11.19921875" defaultRowHeight="18" x14ac:dyDescent="0.35"/>
  <cols>
    <col min="1" max="3" width="10.8984375" hidden="1" customWidth="1"/>
    <col min="4" max="4" width="10.89843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984375" bestFit="1" customWidth="1"/>
    <col min="14" max="14" width="9.3984375" bestFit="1" customWidth="1"/>
  </cols>
  <sheetData>
    <row r="2" spans="1:14" ht="21" x14ac:dyDescent="0.4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5">
      <c r="L3" s="19"/>
      <c r="M3" s="20"/>
      <c r="N3" s="19"/>
    </row>
    <row r="4" spans="1:14" ht="21" x14ac:dyDescent="0.4">
      <c r="E4" s="66" t="s">
        <v>25</v>
      </c>
      <c r="L4" s="66" t="s">
        <v>21</v>
      </c>
      <c r="M4" s="41"/>
      <c r="N4" s="19"/>
    </row>
    <row r="5" spans="1:14" x14ac:dyDescent="0.35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5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120</v>
      </c>
      <c r="C6">
        <f t="shared" ref="C6:C10" si="0">SUM(A6:B6)</f>
        <v>120</v>
      </c>
      <c r="E6" s="70" t="str">
        <f>'Journal de travail'!M8</f>
        <v>Analyse</v>
      </c>
      <c r="F6" s="71" t="str">
        <f>QUOTIENT(SUM(A6:B6),60)&amp;" h "&amp;TEXT(MOD(SUM(A6:B6),60), "00")&amp;" min"</f>
        <v>2 h 00 min</v>
      </c>
      <c r="G6" s="72">
        <f>SUM(A6:B6)/$C$11</f>
        <v>0.10212765957446808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5">
      <c r="A7">
        <f>SUMIF('Journal de travail'!$E$7:$E$532,Plannification!E7,'Journal de travail'!$C$7:$C$532)*60</f>
        <v>300</v>
      </c>
      <c r="B7">
        <f>SUMIF('Journal de travail'!$E$7:$E$532,Plannification!E7,'Journal de travail'!$D$7:$D$532)</f>
        <v>360</v>
      </c>
      <c r="C7">
        <f t="shared" si="0"/>
        <v>660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11 h 00 min</v>
      </c>
      <c r="G7" s="75">
        <f t="shared" ref="G7:G9" si="2">SUM(A7:B7)/$C$11</f>
        <v>0.5617021276595745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5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0.10212765957446808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5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215</v>
      </c>
      <c r="C9">
        <f t="shared" si="0"/>
        <v>275</v>
      </c>
      <c r="E9" s="77" t="str">
        <f>'Journal de travail'!M11</f>
        <v>Documentation</v>
      </c>
      <c r="F9" s="74" t="str">
        <f t="shared" si="1"/>
        <v>4 h 35 min</v>
      </c>
      <c r="G9" s="75">
        <f t="shared" si="2"/>
        <v>0.23404255319148937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5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5">
      <c r="A11">
        <f>SUM(A6:A10)</f>
        <v>420</v>
      </c>
      <c r="B11">
        <f>SUM(B6:B10)</f>
        <v>755</v>
      </c>
      <c r="C11">
        <f>SUM(A11:B11)</f>
        <v>1175</v>
      </c>
      <c r="E11" s="81" t="s">
        <v>18</v>
      </c>
      <c r="F11" s="71" t="str">
        <f t="shared" si="1"/>
        <v>19 h 35 min</v>
      </c>
      <c r="G11" s="82">
        <f>C11/C12</f>
        <v>0.81597222222222221</v>
      </c>
      <c r="L11" s="56" t="s">
        <v>18</v>
      </c>
      <c r="M11" s="57"/>
      <c r="N11" s="60">
        <f>SUM(N6:N10)</f>
        <v>1</v>
      </c>
    </row>
    <row r="12" spans="1:14" x14ac:dyDescent="0.35">
      <c r="C12">
        <f>F2*60</f>
        <v>1440</v>
      </c>
    </row>
    <row r="13" spans="1:14" x14ac:dyDescent="0.35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defaultColWidth="11.19921875" defaultRowHeight="15.6" x14ac:dyDescent="0.3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2025-10-11T22:26:45Z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