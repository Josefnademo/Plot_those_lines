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djdj\Documents\GitHub\Plot_those_lines\doc\"/>
    </mc:Choice>
  </mc:AlternateContent>
  <xr:revisionPtr revIDLastSave="0" documentId="13_ncr:1_{766FF0EE-6479-43FD-9023-9355CEE595B7}" xr6:coauthVersionLast="47" xr6:coauthVersionMax="47" xr10:uidLastSave="{00000000-0000-0000-0000-000000000000}"/>
  <bookViews>
    <workbookView xWindow="-108" yWindow="-108" windowWidth="23256" windowHeight="12456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<sst xmlns="http://schemas.openxmlformats.org/spreadsheetml/2006/main" count="114" uniqueCount="76">
  <si>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</si>
  <si>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</si>
  <si>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</si>
  <si>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</si>
  <si>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</si>
  <si>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</si>
  <si>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</si>
  <si>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</si>
  <si>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</si>
  <si>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</si>
  <si>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</si>
  <si>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</si>
  <si>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</si>
  <si>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</si>
  <si>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</si>
  <si>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</si>
  <si>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</si>
  <si>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</si>
  <si>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</si>
  <si>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</si>
  <si>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</si>
  <si>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</si>
  <si>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</si>
  <si>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</si>
  <si>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</si>
  <si>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</si>
  <si>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</si>
  <si>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</si>
  <si>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</si>
  <si>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</si>
  <si>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</si>
  <si>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</si>
  <si>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</si>
  <si>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</si>
  <si>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</si>
  <si>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</si>
  <si>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</si>
  <si>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</si>
  <si>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</si>
  <si>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</si>
  <si>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</si>
  <si>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</si>
  <si>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</si>
  <si>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</si>
  <si>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</si>
  <si>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</si>
  <si>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</si>
  <si>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</si>
  <si>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</si>
  <si>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</si>
  <si>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</si>
  <si>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</si>
  <si>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</si>
  <si>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</si>
  <si>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</si>
  <si>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</si>
  <si>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</si>
  <si>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</si>
  <si>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</si>
  <si>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</si>
  <si>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</si>
  <si>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</si>
  <si>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</si>
  <si>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</si>
  <si>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</si>
  <si>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</si>
  <si>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</si>
  <si>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</si>
  <si>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</si>
  <si>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</si>
  <si>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</si>
  <si>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</si>
  <si>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</si>
  <si>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</si>
  <si>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</si>
  <si>
    <t>documentation(Rapport(tests UINT, test acceptation))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</si>
</sst>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645</c:v>
                </c:pt>
                <c:pt idx="2">
                  <c:v>120</c:v>
                </c:pt>
                <c:pt idx="3">
                  <c:v>230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0.10762331838565023</c:v>
                </c:pt>
                <c:pt idx="1">
                  <c:v>0.57847533632286996</c:v>
                </c:pt>
                <c:pt idx="2">
                  <c:v>0.10762331838565023</c:v>
                </c:pt>
                <c:pt idx="3">
                  <c:v>0.20627802690582961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6" activePane="bottomLeft" state="frozen"/>
      <selection pane="bottomLeft" activeCell="F37" sqref="F37"/>
    </sheetView>
  </sheetViews>
  <sheetFormatPr defaultColWidth="11" defaultRowHeight="15.6" x14ac:dyDescent="0.3"/>
  <cols>
    <col min="1" max="1" width="14.5" style="7" bestFit="1" customWidth="1"/>
    <col min="2" max="2" width="11.8984375" style="1" customWidth="1"/>
    <col min="3" max="3" width="12.09765625" style="2" bestFit="1" customWidth="1"/>
    <col min="4" max="4" width="10.5" style="2" bestFit="1" customWidth="1"/>
    <col min="5" max="5" width="14.09765625" bestFit="1" customWidth="1"/>
    <col min="6" max="6" width="83.5" customWidth="1"/>
    <col min="7" max="7" width="72.09765625" customWidth="1"/>
    <col min="10" max="10" width="7.09765625" bestFit="1" customWidth="1"/>
    <col min="11" max="11" width="13.8984375" bestFit="1" customWidth="1"/>
    <col min="12" max="12" width="4.09765625" bestFit="1" customWidth="1"/>
    <col min="13" max="13" width="14.3984375" hidden="1" customWidth="1"/>
    <col min="14" max="14" width="4.59765625" hidden="1" customWidth="1"/>
    <col min="15" max="15" width="7.59765625" hidden="1" customWidth="1"/>
  </cols>
  <sheetData>
    <row r="1" spans="1:15" ht="23.4" x14ac:dyDescent="0.45">
      <c r="A1" s="8"/>
      <c r="B1" s="9"/>
      <c r="C1" s="10"/>
      <c r="D1" s="10"/>
      <c r="E1" s="11"/>
      <c r="F1" s="12" t="s">
        <v>27</v>
      </c>
      <c r="G1" s="11"/>
    </row>
    <row r="2" spans="1:15" ht="23.4" x14ac:dyDescent="0.4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4" x14ac:dyDescent="0.45">
      <c r="A3" s="88" t="s">
        <v>5</v>
      </c>
      <c r="B3" s="88"/>
      <c r="C3" s="67" t="str">
        <f>QUOTIENT(E4,60)&amp;" heures "&amp;MOD(E4,60)&amp;" minutes"</f>
        <v>18 heures 35 minutes</v>
      </c>
      <c r="D3" s="17"/>
      <c r="E3" s="3"/>
      <c r="F3" s="4" t="s">
        <v>6</v>
      </c>
      <c r="G3" s="65" t="s">
        <v>31</v>
      </c>
    </row>
    <row r="4" spans="1:15" ht="23.4" hidden="1" x14ac:dyDescent="0.45">
      <c r="B4" s="5"/>
      <c r="C4" s="17">
        <f>SUBTOTAL(9,$C$7:$C$531)*60</f>
        <v>420</v>
      </c>
      <c r="D4" s="17">
        <f>SUBTOTAL(9,$D$7:$D$531)</f>
        <v>695</v>
      </c>
      <c r="E4" s="24">
        <f>SUM(C4:D4)</f>
        <v>1115</v>
      </c>
      <c r="F4" s="4"/>
      <c r="G4" s="6"/>
    </row>
    <row r="5" spans="1:15" x14ac:dyDescent="0.3">
      <c r="C5" s="87" t="s">
        <v>14</v>
      </c>
      <c r="D5" s="87"/>
    </row>
    <row r="6" spans="1:15" s="15" customFormat="1" ht="20.100000000000001" customHeight="1" x14ac:dyDescent="0.35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2" x14ac:dyDescent="0.3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" x14ac:dyDescent="0.3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3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62.4" x14ac:dyDescent="0.3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09.2" x14ac:dyDescent="0.3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3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2.4" x14ac:dyDescent="0.3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2" x14ac:dyDescent="0.3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2" x14ac:dyDescent="0.3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" x14ac:dyDescent="0.3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6.8" x14ac:dyDescent="0.3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3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3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46.8" x14ac:dyDescent="0.3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3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2" x14ac:dyDescent="0.3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3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3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3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2" x14ac:dyDescent="0.3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3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3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3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6" x14ac:dyDescent="0.3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3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3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3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3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3">
      <c r="A35" s="63">
        <f>IF(ISBLANK(B35),"",_xlfn.ISOWEEKNUM('Journal de travail'!$B35))</f>
        <v>41</v>
      </c>
      <c r="B35" s="34">
        <v>45941</v>
      </c>
      <c r="C35" s="35"/>
      <c r="D35" s="36">
        <v>25</v>
      </c>
      <c r="E35" s="37" t="s">
        <v>4</v>
      </c>
      <c r="F35" s="23" t="s">
        <v>75</v>
      </c>
      <c r="G35" s="40"/>
    </row>
    <row r="36" spans="1:7" x14ac:dyDescent="0.3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3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3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3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3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3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3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3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3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3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3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3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3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3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3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3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3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3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3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3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3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3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3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3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3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3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3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3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3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3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3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3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3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3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3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3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3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3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3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3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3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3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3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3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3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3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3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3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3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3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3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3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3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3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3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3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3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3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3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3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3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3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3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3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3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3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3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3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3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3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3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3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3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3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3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3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3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3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3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3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3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3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3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3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3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3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3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3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3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3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3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3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3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3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3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3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3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3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3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3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3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3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3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3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3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3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3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3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3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3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3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3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3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3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3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3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3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3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3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3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3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3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3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3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3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3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3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3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3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3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3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3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3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3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3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3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3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3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3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3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3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3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3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3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3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3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3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3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3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3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3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3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3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3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3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3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3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3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3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3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3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3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3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3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3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3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3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3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3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3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3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3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3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3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3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3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3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3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3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3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3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3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3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3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3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3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3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3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3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3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3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3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3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3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3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3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3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3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3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3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3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3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3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3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3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3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3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3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3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3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3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3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3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3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3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3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3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3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3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3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3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3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3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3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3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3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3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3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3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3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3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3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3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3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3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3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3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3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3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3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3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3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3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3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3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3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3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3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3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3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3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3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3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3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3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3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3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3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3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3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3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3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3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3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3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3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3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3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3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3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3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3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3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3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3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3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3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3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3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3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3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3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3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3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3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3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3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3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3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3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3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3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3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3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3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3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3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3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3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3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3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3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3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3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3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3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3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3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3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3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3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3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3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3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3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3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3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3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3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3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3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3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3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3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3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3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3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3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3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3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3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3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3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3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3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3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3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3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3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3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3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3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3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3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3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3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3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3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3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3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3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3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3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3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3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3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3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3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3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3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3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3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3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3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3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3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3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3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3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3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3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3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3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3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3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3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3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3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3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3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3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3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3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3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3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3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3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3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3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3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3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3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3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3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3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3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3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3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3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3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3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3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3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3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3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3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3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3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3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3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3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3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3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3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3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3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3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3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3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3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3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3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3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3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3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3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3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3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3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3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3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3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3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3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3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3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3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3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3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3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3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3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3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3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3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3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3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3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3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3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3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3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3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3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3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3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3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3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3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3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3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3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3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3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3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3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3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3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3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3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3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3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3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3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3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3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3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3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3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3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3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3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3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3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3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3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3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3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3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3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3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3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3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3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3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3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3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defaultColWidth="11.19921875" defaultRowHeight="18" x14ac:dyDescent="0.35"/>
  <cols>
    <col min="1" max="3" width="10.8984375" hidden="1" customWidth="1"/>
    <col min="4" max="4" width="10.89843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984375" bestFit="1" customWidth="1"/>
    <col min="14" max="14" width="9.3984375" bestFit="1" customWidth="1"/>
  </cols>
  <sheetData>
    <row r="2" spans="1:14" ht="21" x14ac:dyDescent="0.4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5">
      <c r="L3" s="19"/>
      <c r="M3" s="20"/>
      <c r="N3" s="19"/>
    </row>
    <row r="4" spans="1:14" ht="21" x14ac:dyDescent="0.4">
      <c r="E4" s="66" t="s">
        <v>25</v>
      </c>
      <c r="L4" s="66" t="s">
        <v>21</v>
      </c>
      <c r="M4" s="41"/>
      <c r="N4" s="19"/>
    </row>
    <row r="5" spans="1:14" x14ac:dyDescent="0.35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120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0.10762331838565023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5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345</v>
      </c>
      <c r="C7">
        <f t="shared" si="0"/>
        <v>645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45 min</v>
      </c>
      <c r="G7" s="75">
        <f t="shared" ref="G7:G9" si="2">SUM(A7:B7)/$C$11</f>
        <v>0.57847533632286996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5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0.10762331838565023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5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170</v>
      </c>
      <c r="C9">
        <f t="shared" si="0"/>
        <v>230</v>
      </c>
      <c r="E9" s="77" t="str">
        <f>'Journal de travail'!M11</f>
        <v>Documentation</v>
      </c>
      <c r="F9" s="74" t="str">
        <f t="shared" si="1"/>
        <v>3 h 50 min</v>
      </c>
      <c r="G9" s="75">
        <f t="shared" si="2"/>
        <v>0.20627802690582961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5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5">
      <c r="A11">
        <f>SUM(A6:A10)</f>
        <v>420</v>
      </c>
      <c r="B11">
        <f>SUM(B6:B10)</f>
        <v>695</v>
      </c>
      <c r="C11">
        <f>SUM(A11:B11)</f>
        <v>1115</v>
      </c>
      <c r="E11" s="81" t="s">
        <v>18</v>
      </c>
      <c r="F11" s="71" t="str">
        <f t="shared" si="1"/>
        <v>18 h 35 min</v>
      </c>
      <c r="G11" s="82">
        <f>C11/C12</f>
        <v>0.77430555555555558</v>
      </c>
      <c r="L11" s="56" t="s">
        <v>18</v>
      </c>
      <c r="M11" s="57"/>
      <c r="N11" s="60">
        <f>SUM(N6:N10)</f>
        <v>1</v>
      </c>
    </row>
    <row r="12" spans="1:14" x14ac:dyDescent="0.35">
      <c r="C12">
        <f>F2*60</f>
        <v>1440</v>
      </c>
    </row>
    <row r="13" spans="1:14" x14ac:dyDescent="0.35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defaultColWidth="11.19921875" defaultRowHeight="15.6" x14ac:dyDescent="0.3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2025-10-11T21:09:49Z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